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7958059-A108-4EB4-BD96-FA9E0C7DBF0F}" xr6:coauthVersionLast="47" xr6:coauthVersionMax="47" xr10:uidLastSave="{00000000-0000-0000-0000-000000000000}"/>
  <bookViews>
    <workbookView xWindow="-38520" yWindow="-120" windowWidth="38640" windowHeight="21120" xr2:uid="{5EC3AC49-1D8D-4830-9D64-6B461648F40E}"/>
  </bookViews>
  <sheets>
    <sheet name="zad" sheetId="2" r:id="rId1"/>
    <sheet name="Arkusz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" i="2" l="1"/>
  <c r="M4" i="2"/>
  <c r="F4" i="2"/>
  <c r="W20" i="1"/>
  <c r="X61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15" i="1"/>
  <c r="W22" i="1"/>
  <c r="W21" i="1"/>
  <c r="W15" i="1"/>
  <c r="W60" i="1"/>
  <c r="W24" i="1"/>
  <c r="W23" i="1"/>
  <c r="W25" i="1"/>
  <c r="W26" i="1"/>
  <c r="W27" i="1"/>
  <c r="W28" i="1"/>
  <c r="W29" i="1"/>
  <c r="W30" i="1"/>
  <c r="W31" i="1"/>
  <c r="W32" i="1"/>
  <c r="W33" i="1"/>
  <c r="W34" i="1"/>
  <c r="W35" i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M19" i="1"/>
  <c r="W16" i="1"/>
  <c r="W17" i="1"/>
  <c r="W18" i="1"/>
  <c r="W19" i="1"/>
  <c r="W4" i="1"/>
  <c r="N61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15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18" i="1"/>
  <c r="M16" i="1"/>
  <c r="M17" i="1"/>
  <c r="M15" i="1"/>
  <c r="M4" i="1"/>
  <c r="G61" i="1"/>
  <c r="G60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16" i="1"/>
  <c r="F15" i="1"/>
  <c r="F4" i="1"/>
  <c r="G61" i="2" l="1"/>
  <c r="X61" i="2" l="1"/>
  <c r="N61" i="2"/>
</calcChain>
</file>

<file path=xl/sharedStrings.xml><?xml version="1.0" encoding="utf-8"?>
<sst xmlns="http://schemas.openxmlformats.org/spreadsheetml/2006/main" count="58" uniqueCount="12">
  <si>
    <t>A</t>
  </si>
  <si>
    <t>Lata pracy</t>
  </si>
  <si>
    <t>Rok stażu pracy</t>
  </si>
  <si>
    <t xml:space="preserve">Wynagrodzenie </t>
  </si>
  <si>
    <t>Wzrost wynagrodzenia</t>
  </si>
  <si>
    <t xml:space="preserve">Stopa dyskonta </t>
  </si>
  <si>
    <t>NPV</t>
  </si>
  <si>
    <t>B</t>
  </si>
  <si>
    <t>1,33*pensja ze średnim wykształceniem</t>
  </si>
  <si>
    <t>Pensja</t>
  </si>
  <si>
    <t>NPV jednej pensji</t>
  </si>
  <si>
    <t>1,39*pensja ze średnim wykształceniem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</si>
</sst>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2" borderId="0" xfId="0" applyFill="1"/>
    <xf numFmtId="1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91CD-E44D-455F-B6A8-202288C5D284}">
  <dimension ref="E3:X61"/>
  <sheetViews>
    <sheetView tabSelected="1" zoomScale="85" zoomScaleNormal="85" workbookViewId="0">
      <selection activeCell="F51" sqref="F51"/>
    </sheetView>
  </sheetViews>
  <sheetFormatPr defaultRowHeight="15" x14ac:dyDescent="0.25"/>
  <cols>
    <col min="5" max="5" width="15.85546875" customWidth="1"/>
    <col min="12" max="12" width="23.5703125" customWidth="1"/>
    <col min="13" max="13" width="19.7109375" customWidth="1"/>
    <col min="22" max="22" width="20.7109375" customWidth="1"/>
    <col min="23" max="23" width="19.140625" customWidth="1"/>
  </cols>
  <sheetData>
    <row r="3" spans="5:24" x14ac:dyDescent="0.25">
      <c r="E3" t="s">
        <v>0</v>
      </c>
      <c r="L3" t="s">
        <v>7</v>
      </c>
      <c r="V3" t="s">
        <v>7</v>
      </c>
    </row>
    <row r="4" spans="5:24" x14ac:dyDescent="0.25">
      <c r="E4" t="s">
        <v>1</v>
      </c>
      <c r="F4">
        <f>65-19</f>
        <v>46</v>
      </c>
      <c r="L4" t="s">
        <v>1</v>
      </c>
      <c r="M4">
        <f>65-19</f>
        <v>46</v>
      </c>
      <c r="V4" t="s">
        <v>1</v>
      </c>
      <c r="W4">
        <f>65-19</f>
        <v>46</v>
      </c>
    </row>
    <row r="5" spans="5:24" x14ac:dyDescent="0.25">
      <c r="E5" t="s">
        <v>3</v>
      </c>
      <c r="F5">
        <v>5000</v>
      </c>
      <c r="L5" t="s">
        <v>3</v>
      </c>
      <c r="M5">
        <v>2500</v>
      </c>
      <c r="N5" t="s">
        <v>8</v>
      </c>
      <c r="V5" t="s">
        <v>3</v>
      </c>
      <c r="W5">
        <v>2500</v>
      </c>
      <c r="X5" t="s">
        <v>11</v>
      </c>
    </row>
    <row r="6" spans="5:24" x14ac:dyDescent="0.25">
      <c r="E6" t="s">
        <v>4</v>
      </c>
      <c r="F6" s="3">
        <v>0.02</v>
      </c>
      <c r="L6" t="s">
        <v>4</v>
      </c>
      <c r="M6" s="3">
        <v>2.3E-2</v>
      </c>
      <c r="V6" t="s">
        <v>4</v>
      </c>
      <c r="W6" s="3">
        <v>2.5999999999999999E-2</v>
      </c>
    </row>
    <row r="7" spans="5:24" x14ac:dyDescent="0.25">
      <c r="E7" t="s">
        <v>5</v>
      </c>
      <c r="F7" s="1">
        <v>0.03</v>
      </c>
      <c r="L7" t="s">
        <v>5</v>
      </c>
      <c r="M7" s="1">
        <v>0.03</v>
      </c>
      <c r="V7" t="s">
        <v>5</v>
      </c>
      <c r="W7" s="1">
        <v>0.03</v>
      </c>
    </row>
    <row r="14" spans="5:24" x14ac:dyDescent="0.25">
      <c r="E14" t="s">
        <v>2</v>
      </c>
      <c r="F14" t="s">
        <v>9</v>
      </c>
      <c r="G14" t="s">
        <v>10</v>
      </c>
      <c r="L14" t="s">
        <v>2</v>
      </c>
      <c r="M14" t="s">
        <v>9</v>
      </c>
      <c r="N14" t="s">
        <v>10</v>
      </c>
      <c r="V14" t="s">
        <v>2</v>
      </c>
      <c r="W14" t="s">
        <v>9</v>
      </c>
      <c r="X14" t="s">
        <v>10</v>
      </c>
    </row>
    <row r="15" spans="5:24" x14ac:dyDescent="0.25">
      <c r="E15">
        <v>1</v>
      </c>
      <c r="L15">
        <v>1</v>
      </c>
      <c r="V15">
        <v>1</v>
      </c>
    </row>
    <row r="16" spans="5:24" x14ac:dyDescent="0.25">
      <c r="E16">
        <v>2</v>
      </c>
      <c r="L16">
        <v>2</v>
      </c>
      <c r="V16">
        <v>2</v>
      </c>
    </row>
    <row r="17" spans="5:22" x14ac:dyDescent="0.25">
      <c r="E17">
        <v>3</v>
      </c>
      <c r="L17">
        <v>3</v>
      </c>
      <c r="V17">
        <v>3</v>
      </c>
    </row>
    <row r="18" spans="5:22" x14ac:dyDescent="0.25">
      <c r="E18">
        <v>4</v>
      </c>
      <c r="L18">
        <v>4</v>
      </c>
      <c r="V18">
        <v>4</v>
      </c>
    </row>
    <row r="19" spans="5:22" x14ac:dyDescent="0.25">
      <c r="E19">
        <v>5</v>
      </c>
      <c r="L19">
        <v>5</v>
      </c>
      <c r="V19">
        <v>5</v>
      </c>
    </row>
    <row r="20" spans="5:22" x14ac:dyDescent="0.25">
      <c r="E20">
        <v>6</v>
      </c>
      <c r="L20">
        <v>6</v>
      </c>
      <c r="V20">
        <v>6</v>
      </c>
    </row>
    <row r="21" spans="5:22" x14ac:dyDescent="0.25">
      <c r="E21">
        <v>7</v>
      </c>
      <c r="L21">
        <v>7</v>
      </c>
      <c r="V21">
        <v>7</v>
      </c>
    </row>
    <row r="22" spans="5:22" x14ac:dyDescent="0.25">
      <c r="E22">
        <v>8</v>
      </c>
      <c r="L22">
        <v>8</v>
      </c>
      <c r="V22">
        <v>8</v>
      </c>
    </row>
    <row r="23" spans="5:22" x14ac:dyDescent="0.25">
      <c r="E23">
        <v>9</v>
      </c>
      <c r="L23">
        <v>9</v>
      </c>
      <c r="V23">
        <v>9</v>
      </c>
    </row>
    <row r="24" spans="5:22" x14ac:dyDescent="0.25">
      <c r="E24">
        <v>10</v>
      </c>
      <c r="L24">
        <v>10</v>
      </c>
      <c r="V24">
        <v>10</v>
      </c>
    </row>
    <row r="25" spans="5:22" x14ac:dyDescent="0.25">
      <c r="E25">
        <v>11</v>
      </c>
      <c r="L25">
        <v>11</v>
      </c>
      <c r="V25">
        <v>11</v>
      </c>
    </row>
    <row r="26" spans="5:22" x14ac:dyDescent="0.25">
      <c r="E26">
        <v>12</v>
      </c>
      <c r="L26">
        <v>12</v>
      </c>
      <c r="V26">
        <v>12</v>
      </c>
    </row>
    <row r="27" spans="5:22" x14ac:dyDescent="0.25">
      <c r="E27">
        <v>13</v>
      </c>
      <c r="L27">
        <v>13</v>
      </c>
      <c r="V27">
        <v>13</v>
      </c>
    </row>
    <row r="28" spans="5:22" x14ac:dyDescent="0.25">
      <c r="E28">
        <v>14</v>
      </c>
      <c r="L28">
        <v>14</v>
      </c>
      <c r="V28">
        <v>14</v>
      </c>
    </row>
    <row r="29" spans="5:22" x14ac:dyDescent="0.25">
      <c r="E29">
        <v>15</v>
      </c>
      <c r="L29">
        <v>15</v>
      </c>
      <c r="V29">
        <v>15</v>
      </c>
    </row>
    <row r="30" spans="5:22" x14ac:dyDescent="0.25">
      <c r="E30">
        <v>16</v>
      </c>
      <c r="L30">
        <v>16</v>
      </c>
      <c r="V30">
        <v>16</v>
      </c>
    </row>
    <row r="31" spans="5:22" x14ac:dyDescent="0.25">
      <c r="E31">
        <v>17</v>
      </c>
      <c r="L31">
        <v>17</v>
      </c>
      <c r="V31">
        <v>17</v>
      </c>
    </row>
    <row r="32" spans="5:22" x14ac:dyDescent="0.25">
      <c r="E32">
        <v>18</v>
      </c>
      <c r="L32">
        <v>18</v>
      </c>
      <c r="V32">
        <v>18</v>
      </c>
    </row>
    <row r="33" spans="5:22" x14ac:dyDescent="0.25">
      <c r="E33">
        <v>19</v>
      </c>
      <c r="L33">
        <v>19</v>
      </c>
      <c r="V33">
        <v>19</v>
      </c>
    </row>
    <row r="34" spans="5:22" x14ac:dyDescent="0.25">
      <c r="E34">
        <v>20</v>
      </c>
      <c r="L34">
        <v>20</v>
      </c>
      <c r="V34">
        <v>20</v>
      </c>
    </row>
    <row r="35" spans="5:22" x14ac:dyDescent="0.25">
      <c r="E35">
        <v>21</v>
      </c>
      <c r="L35">
        <v>21</v>
      </c>
      <c r="V35">
        <v>21</v>
      </c>
    </row>
    <row r="36" spans="5:22" x14ac:dyDescent="0.25">
      <c r="E36">
        <v>22</v>
      </c>
      <c r="L36">
        <v>22</v>
      </c>
      <c r="V36">
        <v>22</v>
      </c>
    </row>
    <row r="37" spans="5:22" x14ac:dyDescent="0.25">
      <c r="E37">
        <v>23</v>
      </c>
      <c r="L37">
        <v>23</v>
      </c>
      <c r="V37">
        <v>23</v>
      </c>
    </row>
    <row r="38" spans="5:22" x14ac:dyDescent="0.25">
      <c r="E38">
        <v>24</v>
      </c>
      <c r="L38">
        <v>24</v>
      </c>
      <c r="V38">
        <v>24</v>
      </c>
    </row>
    <row r="39" spans="5:22" x14ac:dyDescent="0.25">
      <c r="E39">
        <v>25</v>
      </c>
      <c r="L39">
        <v>25</v>
      </c>
      <c r="V39">
        <v>25</v>
      </c>
    </row>
    <row r="40" spans="5:22" x14ac:dyDescent="0.25">
      <c r="E40">
        <v>26</v>
      </c>
      <c r="L40">
        <v>26</v>
      </c>
      <c r="V40">
        <v>26</v>
      </c>
    </row>
    <row r="41" spans="5:22" x14ac:dyDescent="0.25">
      <c r="E41">
        <v>27</v>
      </c>
      <c r="L41">
        <v>27</v>
      </c>
      <c r="V41">
        <v>27</v>
      </c>
    </row>
    <row r="42" spans="5:22" x14ac:dyDescent="0.25">
      <c r="E42">
        <v>28</v>
      </c>
      <c r="L42">
        <v>28</v>
      </c>
      <c r="V42">
        <v>28</v>
      </c>
    </row>
    <row r="43" spans="5:22" x14ac:dyDescent="0.25">
      <c r="E43">
        <v>29</v>
      </c>
      <c r="L43">
        <v>29</v>
      </c>
      <c r="V43">
        <v>29</v>
      </c>
    </row>
    <row r="44" spans="5:22" x14ac:dyDescent="0.25">
      <c r="E44">
        <v>30</v>
      </c>
      <c r="L44">
        <v>30</v>
      </c>
      <c r="V44">
        <v>30</v>
      </c>
    </row>
    <row r="45" spans="5:22" x14ac:dyDescent="0.25">
      <c r="E45">
        <v>31</v>
      </c>
      <c r="L45">
        <v>31</v>
      </c>
      <c r="V45">
        <v>31</v>
      </c>
    </row>
    <row r="46" spans="5:22" x14ac:dyDescent="0.25">
      <c r="E46">
        <v>32</v>
      </c>
      <c r="L46">
        <v>32</v>
      </c>
      <c r="V46">
        <v>32</v>
      </c>
    </row>
    <row r="47" spans="5:22" x14ac:dyDescent="0.25">
      <c r="E47">
        <v>33</v>
      </c>
      <c r="L47">
        <v>33</v>
      </c>
      <c r="V47">
        <v>33</v>
      </c>
    </row>
    <row r="48" spans="5:22" x14ac:dyDescent="0.25">
      <c r="E48">
        <v>34</v>
      </c>
      <c r="L48">
        <v>34</v>
      </c>
      <c r="V48">
        <v>34</v>
      </c>
    </row>
    <row r="49" spans="5:24" x14ac:dyDescent="0.25">
      <c r="E49">
        <v>35</v>
      </c>
      <c r="L49">
        <v>35</v>
      </c>
      <c r="V49">
        <v>35</v>
      </c>
    </row>
    <row r="50" spans="5:24" x14ac:dyDescent="0.25">
      <c r="E50">
        <v>36</v>
      </c>
      <c r="L50">
        <v>36</v>
      </c>
      <c r="V50">
        <v>36</v>
      </c>
    </row>
    <row r="51" spans="5:24" x14ac:dyDescent="0.25">
      <c r="E51">
        <v>37</v>
      </c>
      <c r="L51">
        <v>37</v>
      </c>
      <c r="V51">
        <v>37</v>
      </c>
    </row>
    <row r="52" spans="5:24" x14ac:dyDescent="0.25">
      <c r="E52">
        <v>38</v>
      </c>
      <c r="L52">
        <v>38</v>
      </c>
      <c r="V52">
        <v>38</v>
      </c>
    </row>
    <row r="53" spans="5:24" x14ac:dyDescent="0.25">
      <c r="E53">
        <v>39</v>
      </c>
      <c r="L53">
        <v>39</v>
      </c>
      <c r="V53">
        <v>39</v>
      </c>
    </row>
    <row r="54" spans="5:24" x14ac:dyDescent="0.25">
      <c r="E54">
        <v>40</v>
      </c>
      <c r="L54">
        <v>40</v>
      </c>
      <c r="V54">
        <v>40</v>
      </c>
    </row>
    <row r="55" spans="5:24" x14ac:dyDescent="0.25">
      <c r="E55">
        <v>41</v>
      </c>
      <c r="L55">
        <v>41</v>
      </c>
      <c r="V55">
        <v>41</v>
      </c>
    </row>
    <row r="56" spans="5:24" x14ac:dyDescent="0.25">
      <c r="E56">
        <v>42</v>
      </c>
      <c r="L56">
        <v>42</v>
      </c>
      <c r="V56">
        <v>42</v>
      </c>
    </row>
    <row r="57" spans="5:24" x14ac:dyDescent="0.25">
      <c r="E57">
        <v>43</v>
      </c>
      <c r="L57">
        <v>43</v>
      </c>
      <c r="V57">
        <v>43</v>
      </c>
    </row>
    <row r="58" spans="5:24" x14ac:dyDescent="0.25">
      <c r="E58">
        <v>44</v>
      </c>
      <c r="L58">
        <v>44</v>
      </c>
      <c r="V58">
        <v>44</v>
      </c>
    </row>
    <row r="59" spans="5:24" x14ac:dyDescent="0.25">
      <c r="E59">
        <v>45</v>
      </c>
      <c r="L59">
        <v>45</v>
      </c>
      <c r="V59">
        <v>45</v>
      </c>
    </row>
    <row r="60" spans="5:24" x14ac:dyDescent="0.25">
      <c r="E60">
        <v>46</v>
      </c>
      <c r="L60">
        <v>46</v>
      </c>
      <c r="V60">
        <v>46</v>
      </c>
    </row>
    <row r="61" spans="5:24" x14ac:dyDescent="0.25">
      <c r="F61" s="2" t="s">
        <v>6</v>
      </c>
      <c r="G61" s="2">
        <f>SUM(G15:G60)</f>
        <v>0</v>
      </c>
      <c r="M61" s="2" t="s">
        <v>6</v>
      </c>
      <c r="N61" s="2">
        <f>SUM(N15:N60)</f>
        <v>0</v>
      </c>
      <c r="V61" s="2"/>
      <c r="W61" s="2" t="s">
        <v>6</v>
      </c>
      <c r="X61" s="2">
        <f>SUM(X15:X60)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3E4A-ED13-4B32-8F9B-8655F389675A}">
  <dimension ref="E3:X61"/>
  <sheetViews>
    <sheetView zoomScale="85" zoomScaleNormal="85" workbookViewId="0">
      <selection activeCell="R28" sqref="R28"/>
    </sheetView>
  </sheetViews>
  <sheetFormatPr defaultRowHeight="15" x14ac:dyDescent="0.25"/>
  <cols>
    <col min="5" max="5" width="15.85546875" customWidth="1"/>
    <col min="12" max="12" width="23.5703125" customWidth="1"/>
    <col min="13" max="13" width="19.7109375" customWidth="1"/>
    <col min="22" max="22" width="20.7109375" customWidth="1"/>
    <col min="23" max="23" width="19.140625" customWidth="1"/>
  </cols>
  <sheetData>
    <row r="3" spans="5:24" x14ac:dyDescent="0.25">
      <c r="E3" t="s">
        <v>0</v>
      </c>
      <c r="L3" t="s">
        <v>7</v>
      </c>
      <c r="V3" t="s">
        <v>7</v>
      </c>
    </row>
    <row r="4" spans="5:24" x14ac:dyDescent="0.25">
      <c r="E4" t="s">
        <v>1</v>
      </c>
      <c r="F4">
        <f>65-19</f>
        <v>46</v>
      </c>
      <c r="L4" t="s">
        <v>1</v>
      </c>
      <c r="M4">
        <f>65-19</f>
        <v>46</v>
      </c>
      <c r="V4" t="s">
        <v>1</v>
      </c>
      <c r="W4">
        <f>65-19</f>
        <v>46</v>
      </c>
    </row>
    <row r="5" spans="5:24" x14ac:dyDescent="0.25">
      <c r="E5" t="s">
        <v>3</v>
      </c>
      <c r="F5">
        <v>5000</v>
      </c>
      <c r="L5" t="s">
        <v>3</v>
      </c>
      <c r="M5">
        <v>2500</v>
      </c>
      <c r="N5" t="s">
        <v>8</v>
      </c>
      <c r="V5" t="s">
        <v>3</v>
      </c>
      <c r="W5">
        <v>2500</v>
      </c>
      <c r="X5" t="s">
        <v>11</v>
      </c>
    </row>
    <row r="6" spans="5:24" x14ac:dyDescent="0.25">
      <c r="E6" t="s">
        <v>4</v>
      </c>
      <c r="F6" s="3">
        <v>0.02</v>
      </c>
      <c r="L6" t="s">
        <v>4</v>
      </c>
      <c r="M6" s="3">
        <v>2.3E-2</v>
      </c>
      <c r="V6" t="s">
        <v>4</v>
      </c>
      <c r="W6" s="3">
        <v>2.5999999999999999E-2</v>
      </c>
    </row>
    <row r="7" spans="5:24" x14ac:dyDescent="0.25">
      <c r="E7" t="s">
        <v>5</v>
      </c>
      <c r="F7" s="1">
        <v>0.03</v>
      </c>
      <c r="L7" t="s">
        <v>5</v>
      </c>
      <c r="M7" s="1">
        <v>0.03</v>
      </c>
      <c r="V7" t="s">
        <v>5</v>
      </c>
      <c r="W7" s="1">
        <v>0.03</v>
      </c>
    </row>
    <row r="14" spans="5:24" x14ac:dyDescent="0.25">
      <c r="E14" t="s">
        <v>2</v>
      </c>
      <c r="F14" t="s">
        <v>9</v>
      </c>
      <c r="G14" t="s">
        <v>10</v>
      </c>
      <c r="L14" t="s">
        <v>2</v>
      </c>
      <c r="M14" t="s">
        <v>9</v>
      </c>
      <c r="N14" t="s">
        <v>10</v>
      </c>
      <c r="V14" t="s">
        <v>2</v>
      </c>
      <c r="W14" t="s">
        <v>9</v>
      </c>
      <c r="X14" t="s">
        <v>10</v>
      </c>
    </row>
    <row r="15" spans="5:24" x14ac:dyDescent="0.25">
      <c r="E15">
        <v>1</v>
      </c>
      <c r="F15">
        <f>12*5000</f>
        <v>60000</v>
      </c>
      <c r="G15">
        <f>F15/(1+0.03)^E15</f>
        <v>58252.427184466018</v>
      </c>
      <c r="L15">
        <v>1</v>
      </c>
      <c r="M15">
        <f>12*2500</f>
        <v>30000</v>
      </c>
      <c r="N15">
        <f>M15/(1+0.03)^L15</f>
        <v>29126.213592233009</v>
      </c>
      <c r="V15">
        <v>1</v>
      </c>
      <c r="W15">
        <f>12*2500</f>
        <v>30000</v>
      </c>
      <c r="X15">
        <f>W15/(1+0.03)^V15</f>
        <v>29126.213592233009</v>
      </c>
    </row>
    <row r="16" spans="5:24" x14ac:dyDescent="0.25">
      <c r="E16">
        <v>2</v>
      </c>
      <c r="F16">
        <f>F15*1.02</f>
        <v>61200</v>
      </c>
      <c r="G16">
        <f t="shared" ref="G16:G60" si="0">F16/(1+0.03)^E16</f>
        <v>57686.869638985772</v>
      </c>
      <c r="L16">
        <v>2</v>
      </c>
      <c r="M16">
        <f t="shared" ref="M16:M17" si="1">12*2500</f>
        <v>30000</v>
      </c>
      <c r="N16">
        <f t="shared" ref="N16:N60" si="2">M16/(1+0.03)^L16</f>
        <v>28277.877274012633</v>
      </c>
      <c r="V16">
        <v>2</v>
      </c>
      <c r="W16">
        <f t="shared" ref="W16:W19" si="3">12*2500</f>
        <v>30000</v>
      </c>
      <c r="X16">
        <f t="shared" ref="X16:X60" si="4">W16/(1+0.03)^V16</f>
        <v>28277.877274012633</v>
      </c>
    </row>
    <row r="17" spans="5:24" x14ac:dyDescent="0.25">
      <c r="E17">
        <v>3</v>
      </c>
      <c r="F17">
        <f t="shared" ref="F17:F60" si="5">F16*1.02</f>
        <v>62424</v>
      </c>
      <c r="G17">
        <f t="shared" si="0"/>
        <v>57126.802943461633</v>
      </c>
      <c r="L17">
        <v>3</v>
      </c>
      <c r="M17">
        <f t="shared" si="1"/>
        <v>30000</v>
      </c>
      <c r="N17">
        <f t="shared" si="2"/>
        <v>27454.249780594786</v>
      </c>
      <c r="V17">
        <v>3</v>
      </c>
      <c r="W17">
        <f t="shared" si="3"/>
        <v>30000</v>
      </c>
      <c r="X17">
        <f t="shared" si="4"/>
        <v>27454.249780594786</v>
      </c>
    </row>
    <row r="18" spans="5:24" x14ac:dyDescent="0.25">
      <c r="E18">
        <v>4</v>
      </c>
      <c r="F18">
        <f t="shared" si="5"/>
        <v>63672.480000000003</v>
      </c>
      <c r="G18">
        <f t="shared" si="0"/>
        <v>56572.173788670749</v>
      </c>
      <c r="L18">
        <v>4</v>
      </c>
      <c r="M18">
        <f>1.33*F18</f>
        <v>84684.398400000005</v>
      </c>
      <c r="N18">
        <f t="shared" si="2"/>
        <v>75240.991138932106</v>
      </c>
      <c r="V18">
        <v>4</v>
      </c>
      <c r="W18">
        <f t="shared" si="3"/>
        <v>30000</v>
      </c>
      <c r="X18">
        <f t="shared" si="4"/>
        <v>26654.61143747067</v>
      </c>
    </row>
    <row r="19" spans="5:24" x14ac:dyDescent="0.25">
      <c r="E19">
        <v>5</v>
      </c>
      <c r="F19">
        <f t="shared" si="5"/>
        <v>64945.929600000003</v>
      </c>
      <c r="G19">
        <f t="shared" si="0"/>
        <v>56022.929382955503</v>
      </c>
      <c r="L19">
        <v>5</v>
      </c>
      <c r="M19">
        <f>M18*1.023</f>
        <v>86632.139563199991</v>
      </c>
      <c r="N19">
        <f t="shared" si="2"/>
        <v>74729.644597211198</v>
      </c>
      <c r="V19">
        <v>5</v>
      </c>
      <c r="W19">
        <f t="shared" si="3"/>
        <v>30000</v>
      </c>
      <c r="X19">
        <f t="shared" si="4"/>
        <v>25878.263531524924</v>
      </c>
    </row>
    <row r="20" spans="5:24" x14ac:dyDescent="0.25">
      <c r="E20">
        <v>6</v>
      </c>
      <c r="F20">
        <f t="shared" si="5"/>
        <v>66244.848192000005</v>
      </c>
      <c r="G20">
        <f t="shared" si="0"/>
        <v>55479.017447198654</v>
      </c>
      <c r="L20">
        <v>6</v>
      </c>
      <c r="M20">
        <f t="shared" ref="M20:M60" si="6">M19*1.023</f>
        <v>88624.678773153588</v>
      </c>
      <c r="N20">
        <f t="shared" si="2"/>
        <v>74221.773226162171</v>
      </c>
      <c r="V20">
        <v>6</v>
      </c>
      <c r="W20">
        <f>1.39*F20</f>
        <v>92080.33898688</v>
      </c>
      <c r="X20">
        <f t="shared" si="4"/>
        <v>77115.834251606124</v>
      </c>
    </row>
    <row r="21" spans="5:24" x14ac:dyDescent="0.25">
      <c r="E21">
        <v>7</v>
      </c>
      <c r="F21">
        <f t="shared" si="5"/>
        <v>67569.745155840006</v>
      </c>
      <c r="G21">
        <f t="shared" si="0"/>
        <v>54940.386209847209</v>
      </c>
      <c r="L21">
        <v>7</v>
      </c>
      <c r="M21">
        <f t="shared" si="6"/>
        <v>90663.046384936111</v>
      </c>
      <c r="N21">
        <f t="shared" si="2"/>
        <v>73717.353408120282</v>
      </c>
      <c r="V21">
        <v>7</v>
      </c>
      <c r="W21">
        <f>W20*1.026</f>
        <v>94474.427800538877</v>
      </c>
      <c r="X21">
        <f t="shared" si="4"/>
        <v>76816.35528363871</v>
      </c>
    </row>
    <row r="22" spans="5:24" x14ac:dyDescent="0.25">
      <c r="E22">
        <v>8</v>
      </c>
      <c r="F22">
        <f t="shared" si="5"/>
        <v>68921.140058956807</v>
      </c>
      <c r="G22">
        <f t="shared" si="0"/>
        <v>54406.98440198462</v>
      </c>
      <c r="L22">
        <v>8</v>
      </c>
      <c r="M22">
        <f t="shared" si="6"/>
        <v>92748.296451789633</v>
      </c>
      <c r="N22">
        <f t="shared" si="2"/>
        <v>73216.36168592918</v>
      </c>
      <c r="V22">
        <v>8</v>
      </c>
      <c r="W22">
        <f>W21*1.026</f>
        <v>96930.762923352886</v>
      </c>
      <c r="X22">
        <f t="shared" si="4"/>
        <v>76518.039340789634</v>
      </c>
    </row>
    <row r="23" spans="5:24" x14ac:dyDescent="0.25">
      <c r="E23">
        <v>9</v>
      </c>
      <c r="F23">
        <f t="shared" si="5"/>
        <v>70299.562860135949</v>
      </c>
      <c r="G23">
        <f t="shared" si="0"/>
        <v>53878.761252450793</v>
      </c>
      <c r="L23">
        <v>9</v>
      </c>
      <c r="M23">
        <f t="shared" si="6"/>
        <v>94881.50727018078</v>
      </c>
      <c r="N23">
        <f t="shared" si="2"/>
        <v>72718.774761850043</v>
      </c>
      <c r="V23">
        <v>9</v>
      </c>
      <c r="W23">
        <f>W22*1.026</f>
        <v>99450.96275936006</v>
      </c>
      <c r="X23">
        <f t="shared" si="4"/>
        <v>76220.881906456474</v>
      </c>
    </row>
    <row r="24" spans="5:24" x14ac:dyDescent="0.25">
      <c r="E24">
        <v>10</v>
      </c>
      <c r="F24">
        <f t="shared" si="5"/>
        <v>71705.554117338674</v>
      </c>
      <c r="G24">
        <f t="shared" si="0"/>
        <v>53355.666483009525</v>
      </c>
      <c r="L24">
        <v>10</v>
      </c>
      <c r="M24">
        <f t="shared" si="6"/>
        <v>97063.781937394931</v>
      </c>
      <c r="N24">
        <f t="shared" si="2"/>
        <v>72224.569496478231</v>
      </c>
      <c r="V24">
        <v>10</v>
      </c>
      <c r="W24">
        <f>W23*1.026</f>
        <v>102036.68779110342</v>
      </c>
      <c r="X24">
        <f t="shared" si="4"/>
        <v>75924.878481577034</v>
      </c>
    </row>
    <row r="25" spans="5:24" x14ac:dyDescent="0.25">
      <c r="E25">
        <v>11</v>
      </c>
      <c r="F25">
        <f t="shared" si="5"/>
        <v>73139.665199685449</v>
      </c>
      <c r="G25">
        <f t="shared" si="0"/>
        <v>52837.650303562834</v>
      </c>
      <c r="L25">
        <v>11</v>
      </c>
      <c r="M25">
        <f t="shared" si="6"/>
        <v>99296.248921955004</v>
      </c>
      <c r="N25">
        <f t="shared" si="2"/>
        <v>71733.722907667208</v>
      </c>
      <c r="V25">
        <v>11</v>
      </c>
      <c r="W25">
        <f t="shared" ref="W22:W60" si="7">W24*1.026</f>
        <v>104689.64167367211</v>
      </c>
      <c r="X25">
        <f t="shared" si="4"/>
        <v>75630.024584561193</v>
      </c>
    </row>
    <row r="26" spans="5:24" x14ac:dyDescent="0.25">
      <c r="E26">
        <v>12</v>
      </c>
      <c r="F26">
        <f t="shared" si="5"/>
        <v>74602.458503679154</v>
      </c>
      <c r="G26">
        <f t="shared" si="0"/>
        <v>52324.663407411739</v>
      </c>
      <c r="L26">
        <v>12</v>
      </c>
      <c r="M26">
        <f t="shared" si="6"/>
        <v>101580.06264715995</v>
      </c>
      <c r="N26">
        <f t="shared" si="2"/>
        <v>71246.212169459759</v>
      </c>
      <c r="V26">
        <v>12</v>
      </c>
      <c r="W26">
        <f t="shared" si="7"/>
        <v>107411.57235718759</v>
      </c>
      <c r="X26">
        <f t="shared" si="4"/>
        <v>75336.315751223097</v>
      </c>
    </row>
    <row r="27" spans="5:24" x14ac:dyDescent="0.25">
      <c r="E27">
        <v>13</v>
      </c>
      <c r="F27">
        <f t="shared" si="5"/>
        <v>76094.507673752742</v>
      </c>
      <c r="G27">
        <f t="shared" si="0"/>
        <v>51816.656966563089</v>
      </c>
      <c r="L27">
        <v>13</v>
      </c>
      <c r="M27">
        <f t="shared" si="6"/>
        <v>103916.40408804463</v>
      </c>
      <c r="N27">
        <f t="shared" si="2"/>
        <v>70762.014611026534</v>
      </c>
      <c r="V27">
        <v>13</v>
      </c>
      <c r="W27">
        <f t="shared" si="7"/>
        <v>110204.27323847446</v>
      </c>
      <c r="X27">
        <f t="shared" si="4"/>
        <v>75043.747534713504</v>
      </c>
    </row>
    <row r="28" spans="5:24" x14ac:dyDescent="0.25">
      <c r="E28">
        <v>14</v>
      </c>
      <c r="F28">
        <f t="shared" si="5"/>
        <v>77616.397827227804</v>
      </c>
      <c r="G28">
        <f t="shared" si="0"/>
        <v>51313.582627081894</v>
      </c>
      <c r="L28">
        <v>14</v>
      </c>
      <c r="M28">
        <f t="shared" si="6"/>
        <v>106306.48138206964</v>
      </c>
      <c r="N28">
        <f t="shared" si="2"/>
        <v>70281.107715611783</v>
      </c>
      <c r="V28">
        <v>14</v>
      </c>
      <c r="W28">
        <f t="shared" si="7"/>
        <v>113069.5843426748</v>
      </c>
      <c r="X28">
        <f t="shared" si="4"/>
        <v>74752.315505452469</v>
      </c>
    </row>
    <row r="29" spans="5:24" x14ac:dyDescent="0.25">
      <c r="E29">
        <v>15</v>
      </c>
      <c r="F29">
        <f t="shared" si="5"/>
        <v>79168.725783772359</v>
      </c>
      <c r="G29">
        <f t="shared" si="0"/>
        <v>50815.39250448886</v>
      </c>
      <c r="L29">
        <v>15</v>
      </c>
      <c r="M29">
        <f t="shared" si="6"/>
        <v>108751.53045385724</v>
      </c>
      <c r="N29">
        <f t="shared" si="2"/>
        <v>69803.469119486253</v>
      </c>
      <c r="V29">
        <v>15</v>
      </c>
      <c r="W29">
        <f t="shared" si="7"/>
        <v>116009.39353558436</v>
      </c>
      <c r="X29">
        <f t="shared" si="4"/>
        <v>74462.015251062374</v>
      </c>
    </row>
    <row r="30" spans="5:24" x14ac:dyDescent="0.25">
      <c r="E30">
        <v>16</v>
      </c>
      <c r="F30">
        <f t="shared" si="5"/>
        <v>80752.100299447804</v>
      </c>
      <c r="G30">
        <f t="shared" si="0"/>
        <v>50322.039179202569</v>
      </c>
      <c r="L30">
        <v>16</v>
      </c>
      <c r="M30">
        <f t="shared" si="6"/>
        <v>111252.81565429595</v>
      </c>
      <c r="N30">
        <f t="shared" si="2"/>
        <v>69329.076610907228</v>
      </c>
      <c r="V30">
        <v>16</v>
      </c>
      <c r="W30">
        <f t="shared" si="7"/>
        <v>119025.63776750956</v>
      </c>
      <c r="X30">
        <f t="shared" si="4"/>
        <v>74172.842376300978</v>
      </c>
    </row>
    <row r="31" spans="5:24" x14ac:dyDescent="0.25">
      <c r="E31">
        <v>17</v>
      </c>
      <c r="F31">
        <f t="shared" si="5"/>
        <v>82367.142305436762</v>
      </c>
      <c r="G31">
        <f t="shared" si="0"/>
        <v>49833.475692025844</v>
      </c>
      <c r="L31">
        <v>17</v>
      </c>
      <c r="M31">
        <f t="shared" si="6"/>
        <v>113811.63041434475</v>
      </c>
      <c r="N31">
        <f t="shared" si="2"/>
        <v>68857.908129085525</v>
      </c>
      <c r="V31">
        <v>17</v>
      </c>
      <c r="W31">
        <f t="shared" si="7"/>
        <v>122120.30434946482</v>
      </c>
      <c r="X31">
        <f t="shared" si="4"/>
        <v>73884.792502994955</v>
      </c>
    </row>
    <row r="32" spans="5:24" x14ac:dyDescent="0.25">
      <c r="E32">
        <v>18</v>
      </c>
      <c r="F32">
        <f t="shared" si="5"/>
        <v>84014.485151545494</v>
      </c>
      <c r="G32">
        <f t="shared" si="0"/>
        <v>49349.655539676074</v>
      </c>
      <c r="L32">
        <v>18</v>
      </c>
      <c r="M32">
        <f t="shared" si="6"/>
        <v>116429.29791387467</v>
      </c>
      <c r="N32">
        <f t="shared" si="2"/>
        <v>68389.941763159703</v>
      </c>
      <c r="V32">
        <v>18</v>
      </c>
      <c r="W32">
        <f t="shared" si="7"/>
        <v>125295.43226255091</v>
      </c>
      <c r="X32">
        <f t="shared" si="4"/>
        <v>73597.861269973626</v>
      </c>
    </row>
    <row r="33" spans="5:24" x14ac:dyDescent="0.25">
      <c r="E33">
        <v>19</v>
      </c>
      <c r="F33">
        <f t="shared" si="5"/>
        <v>85694.774854576404</v>
      </c>
      <c r="G33">
        <f t="shared" si="0"/>
        <v>48870.532670358836</v>
      </c>
      <c r="L33">
        <v>19</v>
      </c>
      <c r="M33">
        <f t="shared" si="6"/>
        <v>119107.17176589379</v>
      </c>
      <c r="N33">
        <f t="shared" si="2"/>
        <v>67925.155751177066</v>
      </c>
      <c r="V33">
        <v>19</v>
      </c>
      <c r="W33">
        <f t="shared" si="7"/>
        <v>128553.11350137723</v>
      </c>
      <c r="X33">
        <f t="shared" si="4"/>
        <v>73312.04433300285</v>
      </c>
    </row>
    <row r="34" spans="5:24" x14ac:dyDescent="0.25">
      <c r="E34">
        <v>20</v>
      </c>
      <c r="F34">
        <f t="shared" si="5"/>
        <v>87408.670351667941</v>
      </c>
      <c r="G34">
        <f t="shared" si="0"/>
        <v>48396.061479384487</v>
      </c>
      <c r="L34">
        <v>20</v>
      </c>
      <c r="M34">
        <f t="shared" si="6"/>
        <v>121846.63671650933</v>
      </c>
      <c r="N34">
        <f t="shared" si="2"/>
        <v>67463.52847908168</v>
      </c>
      <c r="V34">
        <v>20</v>
      </c>
      <c r="W34">
        <f t="shared" si="7"/>
        <v>131895.49445241303</v>
      </c>
      <c r="X34">
        <f t="shared" si="4"/>
        <v>73027.337364719337</v>
      </c>
    </row>
    <row r="35" spans="5:24" x14ac:dyDescent="0.25">
      <c r="E35">
        <v>21</v>
      </c>
      <c r="F35">
        <f t="shared" si="5"/>
        <v>89156.843758701303</v>
      </c>
      <c r="G35">
        <f t="shared" si="0"/>
        <v>47926.196804827363</v>
      </c>
      <c r="L35">
        <v>21</v>
      </c>
      <c r="M35">
        <f t="shared" si="6"/>
        <v>124649.10936098902</v>
      </c>
      <c r="N35">
        <f t="shared" si="2"/>
        <v>67005.03847970927</v>
      </c>
      <c r="V35">
        <v>21</v>
      </c>
      <c r="W35">
        <f t="shared" si="7"/>
        <v>135324.77730817578</v>
      </c>
      <c r="X35">
        <f t="shared" si="4"/>
        <v>72743.736054565103</v>
      </c>
    </row>
    <row r="36" spans="5:24" x14ac:dyDescent="0.25">
      <c r="E36">
        <v>22</v>
      </c>
      <c r="F36">
        <f t="shared" si="5"/>
        <v>90939.980633875326</v>
      </c>
      <c r="G36">
        <f t="shared" si="0"/>
        <v>47460.893923227086</v>
      </c>
      <c r="L36">
        <v>22</v>
      </c>
      <c r="M36">
        <f t="shared" si="6"/>
        <v>127516.03887629176</v>
      </c>
      <c r="N36">
        <f t="shared" si="2"/>
        <v>66549.6644317889</v>
      </c>
      <c r="V36">
        <v>22</v>
      </c>
      <c r="W36">
        <f t="shared" si="7"/>
        <v>138843.22151818834</v>
      </c>
      <c r="X36">
        <f t="shared" si="4"/>
        <v>72461.236108722122</v>
      </c>
    </row>
    <row r="37" spans="5:24" x14ac:dyDescent="0.25">
      <c r="E37">
        <v>23</v>
      </c>
      <c r="F37">
        <f t="shared" si="5"/>
        <v>92758.780246552837</v>
      </c>
      <c r="G37">
        <f t="shared" si="0"/>
        <v>47000.108545331677</v>
      </c>
      <c r="L37">
        <v>23</v>
      </c>
      <c r="M37">
        <f t="shared" si="6"/>
        <v>130448.90777044646</v>
      </c>
      <c r="N37">
        <f t="shared" si="2"/>
        <v>66097.385158951496</v>
      </c>
      <c r="V37">
        <v>23</v>
      </c>
      <c r="W37">
        <f t="shared" si="7"/>
        <v>142453.14527766124</v>
      </c>
      <c r="X37">
        <f t="shared" si="4"/>
        <v>72179.833250047479</v>
      </c>
    </row>
    <row r="38" spans="5:24" x14ac:dyDescent="0.25">
      <c r="E38">
        <v>24</v>
      </c>
      <c r="F38">
        <f t="shared" si="5"/>
        <v>94613.955851483901</v>
      </c>
      <c r="G38">
        <f t="shared" si="0"/>
        <v>46543.796811881868</v>
      </c>
      <c r="L38">
        <v>24</v>
      </c>
      <c r="M38">
        <f t="shared" si="6"/>
        <v>133449.23264916672</v>
      </c>
      <c r="N38">
        <f t="shared" si="2"/>
        <v>65648.179628745042</v>
      </c>
      <c r="V38">
        <v>24</v>
      </c>
      <c r="W38">
        <f t="shared" si="7"/>
        <v>146156.92705488045</v>
      </c>
      <c r="X38">
        <f t="shared" si="4"/>
        <v>71899.523218008471</v>
      </c>
    </row>
    <row r="39" spans="5:24" x14ac:dyDescent="0.25">
      <c r="E39">
        <v>25</v>
      </c>
      <c r="F39">
        <f t="shared" si="5"/>
        <v>96506.234968513585</v>
      </c>
      <c r="G39">
        <f t="shared" si="0"/>
        <v>46091.915289436416</v>
      </c>
      <c r="L39">
        <v>25</v>
      </c>
      <c r="M39">
        <f t="shared" si="6"/>
        <v>136518.56500009753</v>
      </c>
      <c r="N39">
        <f t="shared" si="2"/>
        <v>65202.026951656466</v>
      </c>
      <c r="V39">
        <v>25</v>
      </c>
      <c r="W39">
        <f t="shared" si="7"/>
        <v>149957.00715830733</v>
      </c>
      <c r="X39">
        <f t="shared" si="4"/>
        <v>71620.301768618141</v>
      </c>
    </row>
    <row r="40" spans="5:24" x14ac:dyDescent="0.25">
      <c r="E40">
        <v>26</v>
      </c>
      <c r="F40">
        <f t="shared" si="5"/>
        <v>98436.359667883851</v>
      </c>
      <c r="G40">
        <f t="shared" si="0"/>
        <v>45644.420966237994</v>
      </c>
      <c r="L40">
        <v>26</v>
      </c>
      <c r="M40">
        <f t="shared" si="6"/>
        <v>139658.49199509976</v>
      </c>
      <c r="N40">
        <f t="shared" si="2"/>
        <v>64758.906380140339</v>
      </c>
      <c r="V40">
        <v>26</v>
      </c>
      <c r="W40">
        <f t="shared" si="7"/>
        <v>153855.88934442331</v>
      </c>
      <c r="X40">
        <f t="shared" si="4"/>
        <v>71342.164674371073</v>
      </c>
    </row>
    <row r="41" spans="5:24" x14ac:dyDescent="0.25">
      <c r="E41">
        <v>27</v>
      </c>
      <c r="F41">
        <f t="shared" si="5"/>
        <v>100405.08686124154</v>
      </c>
      <c r="G41">
        <f t="shared" si="0"/>
        <v>45201.271248119192</v>
      </c>
      <c r="L41">
        <v>27</v>
      </c>
      <c r="M41">
        <f t="shared" si="6"/>
        <v>142870.63731098705</v>
      </c>
      <c r="N41">
        <f t="shared" si="2"/>
        <v>64318.797307653957</v>
      </c>
      <c r="V41">
        <v>27</v>
      </c>
      <c r="W41">
        <f t="shared" si="7"/>
        <v>157856.14246737832</v>
      </c>
      <c r="X41">
        <f t="shared" si="4"/>
        <v>71065.107724179354</v>
      </c>
    </row>
    <row r="42" spans="5:24" x14ac:dyDescent="0.25">
      <c r="E42">
        <v>28</v>
      </c>
      <c r="F42">
        <f t="shared" si="5"/>
        <v>102413.18859846637</v>
      </c>
      <c r="G42">
        <f t="shared" si="0"/>
        <v>44762.423954448132</v>
      </c>
      <c r="L42">
        <v>28</v>
      </c>
      <c r="M42">
        <f t="shared" si="6"/>
        <v>146156.66196913974</v>
      </c>
      <c r="N42">
        <f t="shared" si="2"/>
        <v>63881.679267699015</v>
      </c>
      <c r="V42">
        <v>28</v>
      </c>
      <c r="W42">
        <f t="shared" si="7"/>
        <v>161960.40217153015</v>
      </c>
      <c r="X42">
        <f t="shared" si="4"/>
        <v>70789.126723308742</v>
      </c>
    </row>
    <row r="43" spans="5:24" x14ac:dyDescent="0.25">
      <c r="E43">
        <v>29</v>
      </c>
      <c r="F43">
        <f t="shared" si="5"/>
        <v>104461.4523704357</v>
      </c>
      <c r="G43">
        <f t="shared" si="0"/>
        <v>44327.837314113691</v>
      </c>
      <c r="L43">
        <v>29</v>
      </c>
      <c r="M43">
        <f t="shared" si="6"/>
        <v>149518.26519442993</v>
      </c>
      <c r="N43">
        <f t="shared" si="2"/>
        <v>63447.531932869992</v>
      </c>
      <c r="V43">
        <v>29</v>
      </c>
      <c r="W43">
        <f t="shared" si="7"/>
        <v>166171.37262798994</v>
      </c>
      <c r="X43">
        <f t="shared" si="4"/>
        <v>70514.217493315329</v>
      </c>
    </row>
    <row r="44" spans="5:24" x14ac:dyDescent="0.25">
      <c r="E44">
        <v>30</v>
      </c>
      <c r="F44">
        <f t="shared" si="5"/>
        <v>106550.68141784442</v>
      </c>
      <c r="G44">
        <f t="shared" si="0"/>
        <v>43897.469961549476</v>
      </c>
      <c r="L44">
        <v>30</v>
      </c>
      <c r="M44">
        <f t="shared" si="6"/>
        <v>152957.1852939018</v>
      </c>
      <c r="N44">
        <f t="shared" si="2"/>
        <v>63016.335113908732</v>
      </c>
      <c r="V44">
        <v>30</v>
      </c>
      <c r="W44">
        <f t="shared" si="7"/>
        <v>170491.8283163177</v>
      </c>
      <c r="X44">
        <f t="shared" si="4"/>
        <v>70240.375871982062</v>
      </c>
    </row>
    <row r="45" spans="5:24" x14ac:dyDescent="0.25">
      <c r="E45">
        <v>31</v>
      </c>
      <c r="F45">
        <f t="shared" si="5"/>
        <v>108681.6950462013</v>
      </c>
      <c r="G45">
        <f t="shared" si="0"/>
        <v>43471.280932796566</v>
      </c>
      <c r="L45">
        <v>31</v>
      </c>
      <c r="M45">
        <f t="shared" si="6"/>
        <v>156475.20055566152</v>
      </c>
      <c r="N45">
        <f t="shared" si="2"/>
        <v>62588.068758765643</v>
      </c>
      <c r="V45">
        <v>31</v>
      </c>
      <c r="W45">
        <f t="shared" si="7"/>
        <v>174924.61585254196</v>
      </c>
      <c r="X45">
        <f t="shared" si="4"/>
        <v>69967.597713255906</v>
      </c>
    </row>
    <row r="46" spans="5:24" x14ac:dyDescent="0.25">
      <c r="E46">
        <v>32</v>
      </c>
      <c r="F46">
        <f t="shared" si="5"/>
        <v>110855.32894712534</v>
      </c>
      <c r="G46">
        <f t="shared" si="0"/>
        <v>43049.229661604375</v>
      </c>
      <c r="L46">
        <v>32</v>
      </c>
      <c r="M46">
        <f t="shared" si="6"/>
        <v>160074.13016844171</v>
      </c>
      <c r="N46">
        <f t="shared" si="2"/>
        <v>62162.712951667243</v>
      </c>
      <c r="V46">
        <v>32</v>
      </c>
      <c r="W46">
        <f t="shared" si="7"/>
        <v>179472.65586470807</v>
      </c>
      <c r="X46">
        <f t="shared" si="4"/>
        <v>69695.878887185041</v>
      </c>
    </row>
    <row r="47" spans="5:24" x14ac:dyDescent="0.25">
      <c r="E47">
        <v>33</v>
      </c>
      <c r="F47">
        <f t="shared" si="5"/>
        <v>113072.43552606784</v>
      </c>
      <c r="G47">
        <f t="shared" si="0"/>
        <v>42631.275975569377</v>
      </c>
      <c r="L47">
        <v>33</v>
      </c>
      <c r="M47">
        <f t="shared" si="6"/>
        <v>163755.83516231587</v>
      </c>
      <c r="N47">
        <f t="shared" si="2"/>
        <v>61740.247912189887</v>
      </c>
      <c r="V47">
        <v>33</v>
      </c>
      <c r="W47">
        <f t="shared" si="7"/>
        <v>184138.94491719047</v>
      </c>
      <c r="X47">
        <f t="shared" si="4"/>
        <v>69425.215279856158</v>
      </c>
    </row>
    <row r="48" spans="5:24" x14ac:dyDescent="0.25">
      <c r="E48">
        <v>34</v>
      </c>
      <c r="F48">
        <f t="shared" si="5"/>
        <v>115333.88423658921</v>
      </c>
      <c r="G48">
        <f t="shared" si="0"/>
        <v>42217.380092311432</v>
      </c>
      <c r="L48">
        <v>34</v>
      </c>
      <c r="M48">
        <f t="shared" si="6"/>
        <v>167522.21937104911</v>
      </c>
      <c r="N48">
        <f t="shared" si="2"/>
        <v>61320.653994340057</v>
      </c>
      <c r="V48">
        <v>34</v>
      </c>
      <c r="W48">
        <f t="shared" si="7"/>
        <v>188926.55748503743</v>
      </c>
      <c r="X48">
        <f t="shared" si="4"/>
        <v>69155.602793332451</v>
      </c>
    </row>
    <row r="49" spans="5:24" x14ac:dyDescent="0.25">
      <c r="E49">
        <v>35</v>
      </c>
      <c r="F49">
        <f t="shared" si="5"/>
        <v>117640.56192132099</v>
      </c>
      <c r="G49">
        <f t="shared" si="0"/>
        <v>41807.502615687044</v>
      </c>
      <c r="L49">
        <v>35</v>
      </c>
      <c r="M49">
        <f t="shared" si="6"/>
        <v>171375.23041658322</v>
      </c>
      <c r="N49">
        <f t="shared" si="2"/>
        <v>60903.91168564064</v>
      </c>
      <c r="V49">
        <v>35</v>
      </c>
      <c r="W49">
        <f t="shared" si="7"/>
        <v>193838.64797964841</v>
      </c>
      <c r="X49">
        <f t="shared" si="4"/>
        <v>68887.03734559135</v>
      </c>
    </row>
    <row r="50" spans="5:24" x14ac:dyDescent="0.25">
      <c r="E50">
        <v>36</v>
      </c>
      <c r="F50">
        <f t="shared" si="5"/>
        <v>119993.37315974741</v>
      </c>
      <c r="G50">
        <f t="shared" si="0"/>
        <v>41401.604532039601</v>
      </c>
      <c r="L50">
        <v>36</v>
      </c>
      <c r="M50">
        <f t="shared" si="6"/>
        <v>175316.86071616461</v>
      </c>
      <c r="N50">
        <f t="shared" si="2"/>
        <v>60490.001606223661</v>
      </c>
      <c r="V50">
        <v>36</v>
      </c>
      <c r="W50">
        <f t="shared" si="7"/>
        <v>198878.45282711927</v>
      </c>
      <c r="X50">
        <f t="shared" si="4"/>
        <v>68619.514870462837</v>
      </c>
    </row>
    <row r="51" spans="5:24" x14ac:dyDescent="0.25">
      <c r="E51">
        <v>37</v>
      </c>
      <c r="F51">
        <f t="shared" si="5"/>
        <v>122393.24062294237</v>
      </c>
      <c r="G51">
        <f t="shared" si="0"/>
        <v>40999.647206485824</v>
      </c>
      <c r="L51">
        <v>37</v>
      </c>
      <c r="M51">
        <f t="shared" si="6"/>
        <v>179349.14851263637</v>
      </c>
      <c r="N51">
        <f t="shared" si="2"/>
        <v>60078.904507928935</v>
      </c>
      <c r="V51">
        <v>37</v>
      </c>
      <c r="W51">
        <f t="shared" si="7"/>
        <v>204049.29260062438</v>
      </c>
      <c r="X51">
        <f t="shared" si="4"/>
        <v>68353.03131756786</v>
      </c>
    </row>
    <row r="52" spans="5:24" x14ac:dyDescent="0.25">
      <c r="E52">
        <v>38</v>
      </c>
      <c r="F52">
        <f t="shared" si="5"/>
        <v>124841.10543540122</v>
      </c>
      <c r="G52">
        <f t="shared" si="0"/>
        <v>40601.592379238391</v>
      </c>
      <c r="L52">
        <v>38</v>
      </c>
      <c r="M52">
        <f t="shared" si="6"/>
        <v>183474.17892842699</v>
      </c>
      <c r="N52">
        <f t="shared" si="2"/>
        <v>59670.601273409025</v>
      </c>
      <c r="V52">
        <v>38</v>
      </c>
      <c r="W52">
        <f t="shared" si="7"/>
        <v>209354.57420824061</v>
      </c>
      <c r="X52">
        <f t="shared" si="4"/>
        <v>68087.582652256911</v>
      </c>
    </row>
    <row r="53" spans="5:24" x14ac:dyDescent="0.25">
      <c r="E53">
        <v>39</v>
      </c>
      <c r="F53">
        <f t="shared" si="5"/>
        <v>127337.92754410925</v>
      </c>
      <c r="G53">
        <f t="shared" si="0"/>
        <v>40207.40216196423</v>
      </c>
      <c r="L53">
        <v>39</v>
      </c>
      <c r="M53">
        <f t="shared" si="6"/>
        <v>187694.0850437808</v>
      </c>
      <c r="N53">
        <f t="shared" si="2"/>
        <v>59265.072915240213</v>
      </c>
      <c r="V53">
        <v>39</v>
      </c>
      <c r="W53">
        <f t="shared" si="7"/>
        <v>214797.79313765487</v>
      </c>
      <c r="X53">
        <f t="shared" si="4"/>
        <v>67823.164855549112</v>
      </c>
    </row>
    <row r="54" spans="5:24" x14ac:dyDescent="0.25">
      <c r="E54">
        <v>40</v>
      </c>
      <c r="F54">
        <f t="shared" si="5"/>
        <v>129884.68609499144</v>
      </c>
      <c r="G54">
        <f t="shared" si="0"/>
        <v>39817.039034178175</v>
      </c>
      <c r="L54">
        <v>40</v>
      </c>
      <c r="M54">
        <f t="shared" si="6"/>
        <v>192011.04899978774</v>
      </c>
      <c r="N54">
        <f t="shared" si="2"/>
        <v>58862.30057503956</v>
      </c>
      <c r="V54">
        <v>40</v>
      </c>
      <c r="W54">
        <f t="shared" si="7"/>
        <v>220382.5357592339</v>
      </c>
      <c r="X54">
        <f t="shared" si="4"/>
        <v>67559.773924071269</v>
      </c>
    </row>
    <row r="55" spans="5:24" x14ac:dyDescent="0.25">
      <c r="E55">
        <v>41</v>
      </c>
      <c r="F55">
        <f t="shared" si="5"/>
        <v>132482.37981689128</v>
      </c>
      <c r="G55">
        <f t="shared" si="0"/>
        <v>39430.465839671589</v>
      </c>
      <c r="L55">
        <v>41</v>
      </c>
      <c r="M55">
        <f t="shared" si="6"/>
        <v>196427.30312678285</v>
      </c>
      <c r="N55">
        <f t="shared" si="2"/>
        <v>58462.265522587826</v>
      </c>
      <c r="V55">
        <v>41</v>
      </c>
      <c r="W55">
        <f t="shared" si="7"/>
        <v>226112.48168897399</v>
      </c>
      <c r="X55">
        <f t="shared" si="4"/>
        <v>67297.405869997194</v>
      </c>
    </row>
    <row r="56" spans="5:24" x14ac:dyDescent="0.25">
      <c r="E56">
        <v>42</v>
      </c>
      <c r="F56">
        <f t="shared" si="5"/>
        <v>135132.02741322911</v>
      </c>
      <c r="G56">
        <f t="shared" si="0"/>
        <v>39047.645782975749</v>
      </c>
      <c r="L56">
        <v>42</v>
      </c>
      <c r="M56">
        <f t="shared" si="6"/>
        <v>200945.13109869882</v>
      </c>
      <c r="N56">
        <f t="shared" si="2"/>
        <v>58064.949154958573</v>
      </c>
      <c r="V56">
        <v>42</v>
      </c>
      <c r="W56">
        <f t="shared" si="7"/>
        <v>231991.40621288732</v>
      </c>
      <c r="X56">
        <f t="shared" si="4"/>
        <v>67036.056720987501</v>
      </c>
    </row>
    <row r="57" spans="5:24" x14ac:dyDescent="0.25">
      <c r="E57">
        <v>43</v>
      </c>
      <c r="F57">
        <f t="shared" si="5"/>
        <v>137834.66796149369</v>
      </c>
      <c r="G57">
        <f t="shared" si="0"/>
        <v>38668.542425859479</v>
      </c>
      <c r="L57">
        <v>43</v>
      </c>
      <c r="M57">
        <f t="shared" si="6"/>
        <v>205566.86911396889</v>
      </c>
      <c r="N57">
        <f t="shared" si="2"/>
        <v>57670.332995653029</v>
      </c>
      <c r="V57">
        <v>43</v>
      </c>
      <c r="W57">
        <f t="shared" si="7"/>
        <v>238023.1827744224</v>
      </c>
      <c r="X57">
        <f t="shared" si="4"/>
        <v>66775.722520129304</v>
      </c>
    </row>
    <row r="58" spans="5:24" x14ac:dyDescent="0.25">
      <c r="E58">
        <v>44</v>
      </c>
      <c r="F58">
        <f t="shared" si="5"/>
        <v>140591.36132072358</v>
      </c>
      <c r="G58">
        <f t="shared" si="0"/>
        <v>38293.119683860852</v>
      </c>
      <c r="L58">
        <v>44</v>
      </c>
      <c r="M58">
        <f t="shared" si="6"/>
        <v>210294.90710359014</v>
      </c>
      <c r="N58">
        <f t="shared" si="2"/>
        <v>57278.398693740826</v>
      </c>
      <c r="V58">
        <v>44</v>
      </c>
      <c r="W58">
        <f t="shared" si="7"/>
        <v>244211.78552655739</v>
      </c>
      <c r="X58">
        <f t="shared" si="4"/>
        <v>66516.39932587638</v>
      </c>
    </row>
    <row r="59" spans="5:24" x14ac:dyDescent="0.25">
      <c r="E59">
        <v>45</v>
      </c>
      <c r="F59">
        <f t="shared" si="5"/>
        <v>143403.18854713804</v>
      </c>
      <c r="G59">
        <f t="shared" si="0"/>
        <v>37921.341822852497</v>
      </c>
      <c r="L59">
        <v>45</v>
      </c>
      <c r="M59">
        <f t="shared" si="6"/>
        <v>215131.68996697268</v>
      </c>
      <c r="N59">
        <f t="shared" si="2"/>
        <v>56889.128023006655</v>
      </c>
      <c r="V59">
        <v>45</v>
      </c>
      <c r="W59">
        <f t="shared" si="7"/>
        <v>250561.29195024789</v>
      </c>
      <c r="X59">
        <f t="shared" si="4"/>
        <v>66258.083211989477</v>
      </c>
    </row>
    <row r="60" spans="5:24" x14ac:dyDescent="0.25">
      <c r="E60">
        <v>46</v>
      </c>
      <c r="F60">
        <f t="shared" si="5"/>
        <v>146271.25231808081</v>
      </c>
      <c r="G60">
        <f>F60/(1+0.03)^E60</f>
        <v>37553.173455640339</v>
      </c>
      <c r="L60">
        <v>46</v>
      </c>
      <c r="M60">
        <f t="shared" si="6"/>
        <v>220079.71883621303</v>
      </c>
      <c r="N60">
        <f t="shared" si="2"/>
        <v>56502.502881102715</v>
      </c>
      <c r="V60">
        <v>46</v>
      </c>
      <c r="W60">
        <f>W59*1.026</f>
        <v>257075.88554095433</v>
      </c>
      <c r="X60">
        <f t="shared" si="4"/>
        <v>66000.770267476895</v>
      </c>
    </row>
    <row r="61" spans="5:24" x14ac:dyDescent="0.25">
      <c r="F61" s="2" t="s">
        <v>6</v>
      </c>
      <c r="G61" s="2">
        <f>SUM(G15:G60)</f>
        <v>2169576.3075246951</v>
      </c>
      <c r="M61" s="2" t="s">
        <v>6</v>
      </c>
      <c r="N61" s="2">
        <f>SUM(N15:N60)</f>
        <v>2898595.5443228036</v>
      </c>
      <c r="V61" s="2"/>
      <c r="W61" s="2" t="s">
        <v>6</v>
      </c>
      <c r="X61" s="2">
        <f>SUM(X15:X60)</f>
        <v>3065520.9617966115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zad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Kurowski</dc:creator>
  <cp:lastModifiedBy>Łukasz Kurowski</cp:lastModifiedBy>
  <dcterms:created xsi:type="dcterms:W3CDTF">2026-10-03T10:13:54Z</dcterms:created>
  <dcterms:modified xsi:type="dcterms:W3CDTF">2026-10-03T10:51:53Z</dcterms:modified>
</cp:coreProperties>
</file>